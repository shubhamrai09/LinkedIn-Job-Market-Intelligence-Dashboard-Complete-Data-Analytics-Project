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ata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Work_Type_Analysis" sheetId="3" state="visible" r:id="rId3"/>
    <sheet xmlns:r="http://schemas.openxmlformats.org/officeDocument/2006/relationships" name="Location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66C2"/>
      <sz val="14"/>
    </font>
    <font>
      <b val="1"/>
      <color rgb="000A66C2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A66C2"/>
        <bgColor rgb="000A66C2"/>
      </patternFill>
    </fill>
    <fill>
      <patternFill patternType="solid">
        <fgColor rgb="00E6F1FB"/>
        <bgColor rgb="00E6F1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10" customWidth="1" min="5" max="5"/>
    <col width="15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Job_ID</t>
        </is>
      </c>
      <c r="B1" s="1" t="inlineStr">
        <is>
          <t>Company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State</t>
        </is>
      </c>
      <c r="F1" s="1" t="inlineStr">
        <is>
          <t>Work_Type</t>
        </is>
      </c>
      <c r="G1" s="1" t="inlineStr">
        <is>
          <t>Experience_Level</t>
        </is>
      </c>
      <c r="H1" s="1" t="inlineStr">
        <is>
          <t>Views</t>
        </is>
      </c>
      <c r="I1" s="1" t="inlineStr">
        <is>
          <t>Posted_Date</t>
        </is>
      </c>
    </row>
    <row r="2">
      <c r="A2" s="2" t="n">
        <v>921716</v>
      </c>
      <c r="B2" s="2" t="inlineStr">
        <is>
          <t>Corcoran Sawyer Smith</t>
        </is>
      </c>
      <c r="C2" s="2" t="inlineStr">
        <is>
          <t>Marketing Coordinator</t>
        </is>
      </c>
      <c r="D2" s="2" t="inlineStr">
        <is>
          <t>Princeton, NJ</t>
        </is>
      </c>
      <c r="E2" s="2" t="inlineStr">
        <is>
          <t>NJ</t>
        </is>
      </c>
      <c r="F2" s="2" t="inlineStr">
        <is>
          <t>FULL_TIME</t>
        </is>
      </c>
      <c r="G2" s="2" t="inlineStr">
        <is>
          <t>Fresher</t>
        </is>
      </c>
      <c r="H2" s="3" t="n">
        <v>20</v>
      </c>
      <c r="I2" s="2" t="inlineStr">
        <is>
          <t>2024-04-17</t>
        </is>
      </c>
    </row>
    <row r="3">
      <c r="A3" s="2" t="n">
        <v>1829192</v>
      </c>
      <c r="B3" s="2" t="inlineStr">
        <is>
          <t>Unknown</t>
        </is>
      </c>
      <c r="C3" s="2" t="inlineStr">
        <is>
          <t>Mental Health Therapist</t>
        </is>
      </c>
      <c r="D3" s="2" t="inlineStr">
        <is>
          <t>Fort Collins, CO</t>
        </is>
      </c>
      <c r="E3" s="2" t="inlineStr">
        <is>
          <t>CO</t>
        </is>
      </c>
      <c r="F3" s="2" t="inlineStr">
        <is>
          <t>FULL_TIME</t>
        </is>
      </c>
      <c r="G3" s="2" t="inlineStr">
        <is>
          <t>Fresher</t>
        </is>
      </c>
      <c r="H3" s="3" t="n">
        <v>1</v>
      </c>
      <c r="I3" s="2" t="inlineStr">
        <is>
          <t>2024-04-11</t>
        </is>
      </c>
    </row>
    <row r="4">
      <c r="A4" s="2" t="n">
        <v>10998357</v>
      </c>
      <c r="B4" s="2" t="inlineStr">
        <is>
          <t>The National Exemplar</t>
        </is>
      </c>
      <c r="C4" s="2" t="inlineStr">
        <is>
          <t>Restaurant Manager</t>
        </is>
      </c>
      <c r="D4" s="2" t="inlineStr">
        <is>
          <t>Cincinnati, OH</t>
        </is>
      </c>
      <c r="E4" s="2" t="inlineStr">
        <is>
          <t>OH</t>
        </is>
      </c>
      <c r="F4" s="2" t="inlineStr">
        <is>
          <t>FULL_TIME</t>
        </is>
      </c>
      <c r="G4" s="2" t="inlineStr">
        <is>
          <t>Fresher</t>
        </is>
      </c>
      <c r="H4" s="3" t="n">
        <v>8</v>
      </c>
      <c r="I4" s="2" t="inlineStr">
        <is>
          <t>2024-04-16</t>
        </is>
      </c>
    </row>
    <row r="5">
      <c r="A5" s="2" t="n">
        <v>23221523</v>
      </c>
      <c r="B5" s="2" t="inlineStr">
        <is>
          <t>Abrams Fensterman, LLP</t>
        </is>
      </c>
      <c r="C5" s="2" t="inlineStr">
        <is>
          <t>Associate Attorney</t>
        </is>
      </c>
      <c r="D5" s="2" t="inlineStr">
        <is>
          <t>New Hyde Park, NY</t>
        </is>
      </c>
      <c r="E5" s="2" t="inlineStr">
        <is>
          <t>NY</t>
        </is>
      </c>
      <c r="F5" s="2" t="inlineStr">
        <is>
          <t>FULL_TIME</t>
        </is>
      </c>
      <c r="G5" s="2" t="inlineStr">
        <is>
          <t>Fresher</t>
        </is>
      </c>
      <c r="H5" s="3" t="n">
        <v>16</v>
      </c>
      <c r="I5" s="2" t="inlineStr">
        <is>
          <t>2024-04-11</t>
        </is>
      </c>
    </row>
    <row r="6">
      <c r="A6" s="2" t="n">
        <v>35982263</v>
      </c>
      <c r="B6" s="2" t="inlineStr">
        <is>
          <t>Unknown</t>
        </is>
      </c>
      <c r="C6" s="2" t="inlineStr">
        <is>
          <t>Service Technician</t>
        </is>
      </c>
      <c r="D6" s="2" t="inlineStr">
        <is>
          <t>Burlington, IA</t>
        </is>
      </c>
      <c r="E6" s="2" t="inlineStr">
        <is>
          <t>IA</t>
        </is>
      </c>
      <c r="F6" s="2" t="inlineStr">
        <is>
          <t>FULL_TIME</t>
        </is>
      </c>
      <c r="G6" s="2" t="inlineStr">
        <is>
          <t>Fresher</t>
        </is>
      </c>
      <c r="H6" s="3" t="n">
        <v>3</v>
      </c>
      <c r="I6" s="2" t="inlineStr">
        <is>
          <t>2024-04-17</t>
        </is>
      </c>
    </row>
    <row r="7">
      <c r="A7" s="2" t="n">
        <v>91700727</v>
      </c>
      <c r="B7" s="2" t="inlineStr">
        <is>
          <t>Downtown Raleigh Alliance</t>
        </is>
      </c>
      <c r="C7" s="2" t="inlineStr">
        <is>
          <t>Economic Development Intern</t>
        </is>
      </c>
      <c r="D7" s="2" t="inlineStr">
        <is>
          <t>Raleigh, NC</t>
        </is>
      </c>
      <c r="E7" s="2" t="inlineStr">
        <is>
          <t>NC</t>
        </is>
      </c>
      <c r="F7" s="2" t="inlineStr">
        <is>
          <t>INTERNSHIP</t>
        </is>
      </c>
      <c r="G7" s="2" t="inlineStr">
        <is>
          <t>Fresher</t>
        </is>
      </c>
      <c r="H7" s="3" t="n">
        <v>9</v>
      </c>
      <c r="I7" s="2" t="inlineStr">
        <is>
          <t>2024-04-17</t>
        </is>
      </c>
    </row>
    <row r="8">
      <c r="A8" s="2" t="n">
        <v>103254301</v>
      </c>
      <c r="B8" s="2" t="inlineStr">
        <is>
          <t>Raw Cereal</t>
        </is>
      </c>
      <c r="C8" s="2" t="inlineStr">
        <is>
          <t>Producer</t>
        </is>
      </c>
      <c r="D8" s="2" t="inlineStr">
        <is>
          <t>United States</t>
        </is>
      </c>
      <c r="E8" s="2" t="inlineStr">
        <is>
          <t>US</t>
        </is>
      </c>
      <c r="F8" s="2" t="inlineStr">
        <is>
          <t>CONTRACT</t>
        </is>
      </c>
      <c r="G8" s="2" t="inlineStr">
        <is>
          <t>Fresher</t>
        </is>
      </c>
      <c r="H8" s="3" t="n">
        <v>7</v>
      </c>
      <c r="I8" s="2" t="inlineStr">
        <is>
          <t>2024-04-11</t>
        </is>
      </c>
    </row>
    <row r="9">
      <c r="A9" s="2" t="n">
        <v>112576855</v>
      </c>
      <c r="B9" s="2" t="inlineStr">
        <is>
          <t>Unknown</t>
        </is>
      </c>
      <c r="C9" s="2" t="inlineStr">
        <is>
          <t>Building Engineer</t>
        </is>
      </c>
      <c r="D9" s="2" t="inlineStr">
        <is>
          <t>San Francisco, CA</t>
        </is>
      </c>
      <c r="E9" s="2" t="inlineStr">
        <is>
          <t>CA</t>
        </is>
      </c>
      <c r="F9" s="2" t="inlineStr">
        <is>
          <t>FULL_TIME</t>
        </is>
      </c>
      <c r="G9" s="2" t="inlineStr">
        <is>
          <t>Fresher</t>
        </is>
      </c>
      <c r="H9" s="3" t="n">
        <v>2</v>
      </c>
      <c r="I9" s="2" t="inlineStr">
        <is>
          <t>2024-04-11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LinkedIn Job Market Intelligence</t>
        </is>
      </c>
    </row>
    <row r="3">
      <c r="A3" s="5" t="inlineStr">
        <is>
          <t>Key Metrics</t>
        </is>
      </c>
    </row>
    <row r="4">
      <c r="A4" s="6" t="inlineStr">
        <is>
          <t>Total Job Postings</t>
        </is>
      </c>
      <c r="B4" s="7">
        <f>COUNTA(Job_Data!A2:A9)</f>
        <v/>
      </c>
    </row>
    <row r="5">
      <c r="A5" s="6" t="inlineStr">
        <is>
          <t>Total Views</t>
        </is>
      </c>
      <c r="B5" s="7">
        <f>SUM(Job_Data!H2:H9)</f>
        <v/>
      </c>
    </row>
    <row r="6">
      <c r="A6" s="6" t="inlineStr">
        <is>
          <t>Average Views per Job</t>
        </is>
      </c>
      <c r="B6" s="7">
        <f>B5/B4</f>
        <v/>
      </c>
    </row>
    <row r="7">
      <c r="A7" s="6" t="inlineStr">
        <is>
          <t>Full-Time Jobs</t>
        </is>
      </c>
      <c r="B7" s="7">
        <f>COUNTIF(Job_Data!F2:F9,"FULL_TIME")</f>
        <v/>
      </c>
    </row>
    <row r="8">
      <c r="A8" s="6" t="inlineStr">
        <is>
          <t>Part-Time Jobs</t>
        </is>
      </c>
      <c r="B8" s="7">
        <f>COUNTIF(Job_Data!F2:F9,"PART_TIME")</f>
        <v/>
      </c>
    </row>
    <row r="9">
      <c r="A9" s="6" t="inlineStr">
        <is>
          <t>Contract Jobs</t>
        </is>
      </c>
      <c r="B9" s="7">
        <f>COUNTIF(Job_Data!F2:F9,"CONTRACT")</f>
        <v/>
      </c>
    </row>
    <row r="10">
      <c r="A10" s="6" t="inlineStr">
        <is>
          <t>Internship Positions</t>
        </is>
      </c>
      <c r="B10" s="7">
        <f>COUNTIF(Job_Data!F2:F9,"INTERNSHIP")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inlineStr">
        <is>
          <t>Work Type Distribution</t>
        </is>
      </c>
    </row>
    <row r="3">
      <c r="A3" s="8" t="inlineStr">
        <is>
          <t>Work Type</t>
        </is>
      </c>
      <c r="B3" s="8" t="inlineStr">
        <is>
          <t>Count</t>
        </is>
      </c>
    </row>
    <row r="4">
      <c r="A4" t="inlineStr">
        <is>
          <t>FULL TIME</t>
        </is>
      </c>
      <c r="B4">
        <f>COUNTIF(Job_Data!F:F,"FULL_TIME")</f>
        <v/>
      </c>
    </row>
    <row r="5">
      <c r="A5" t="inlineStr">
        <is>
          <t>PART TIME</t>
        </is>
      </c>
      <c r="B5">
        <f>COUNTIF(Job_Data!F:F,"PART_TIME")</f>
        <v/>
      </c>
    </row>
    <row r="6">
      <c r="A6" t="inlineStr">
        <is>
          <t>CONTRACT</t>
        </is>
      </c>
      <c r="B6">
        <f>COUNTIF(Job_Data!F:F,"CONTRACT")</f>
        <v/>
      </c>
    </row>
    <row r="7">
      <c r="A7" t="inlineStr">
        <is>
          <t>INTERNSHIP</t>
        </is>
      </c>
      <c r="B7">
        <f>COUNTIF(Job_Data!F:F,"INTERNSHIP")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5" t="inlineStr">
        <is>
          <t>Jobs by State</t>
        </is>
      </c>
    </row>
    <row r="3">
      <c r="A3" s="8" t="inlineStr">
        <is>
          <t>State</t>
        </is>
      </c>
      <c r="B3" s="8" t="inlineStr">
        <is>
          <t>Job Count</t>
        </is>
      </c>
    </row>
    <row r="4">
      <c r="A4" t="inlineStr">
        <is>
          <t>NJ</t>
        </is>
      </c>
      <c r="B4">
        <f>COUNTIF(Job_Data!E:E,"NJ")</f>
        <v/>
      </c>
    </row>
    <row r="5">
      <c r="A5" t="inlineStr">
        <is>
          <t>CO</t>
        </is>
      </c>
      <c r="B5">
        <f>COUNTIF(Job_Data!E:E,"CO")</f>
        <v/>
      </c>
    </row>
    <row r="6">
      <c r="A6" t="inlineStr">
        <is>
          <t>OH</t>
        </is>
      </c>
      <c r="B6">
        <f>COUNTIF(Job_Data!E:E,"OH")</f>
        <v/>
      </c>
    </row>
    <row r="7">
      <c r="A7" t="inlineStr">
        <is>
          <t>NY</t>
        </is>
      </c>
      <c r="B7">
        <f>COUNTIF(Job_Data!E:E,"NY")</f>
        <v/>
      </c>
    </row>
    <row r="8">
      <c r="A8" t="inlineStr">
        <is>
          <t>IA</t>
        </is>
      </c>
      <c r="B8">
        <f>COUNTIF(Job_Data!E:E,"IA")</f>
        <v/>
      </c>
    </row>
    <row r="9">
      <c r="A9" t="inlineStr">
        <is>
          <t>NC</t>
        </is>
      </c>
      <c r="B9">
        <f>COUNTIF(Job_Data!E:E,"NC")</f>
        <v/>
      </c>
    </row>
    <row r="10">
      <c r="A10" t="inlineStr">
        <is>
          <t>US</t>
        </is>
      </c>
      <c r="B10">
        <f>COUNTIF(Job_Data!E:E,"US")</f>
        <v/>
      </c>
    </row>
    <row r="11">
      <c r="A11" t="inlineStr">
        <is>
          <t>CA</t>
        </is>
      </c>
      <c r="B11">
        <f>COUNTIF(Job_Data!E:E,"CA")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2026-06-23T12:10:01Z</dcterms:created>
  <dcterms:modified xmlns:dcterms="http://purl.org/dc/terms/" xmlns:xsi="http://www.w3.org/2001/XMLSchema-instance" xsi:type="dcterms:W3CDTF">2026-06-23T12:10:01Z</dcterms:modified>
</cp:coreProperties>
</file>